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EB394FE-1F63-4C5A-A9D0-6D2872910D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" sheetId="1" r:id="rId1"/>
    <sheet name="Lookup" sheetId="2" r:id="rId2"/>
    <sheet name="Clean" sheetId="3" r:id="rId3"/>
    <sheet name="Summary" sheetId="4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3" l="1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K3" i="3"/>
  <c r="H3" i="3"/>
  <c r="G3" i="3"/>
  <c r="K2" i="3"/>
  <c r="H2" i="3"/>
  <c r="H2" i="1"/>
  <c r="B5" i="4" l="1"/>
  <c r="B7" i="4"/>
  <c r="B6" i="4"/>
  <c r="G6" i="4"/>
  <c r="K4" i="3"/>
  <c r="E5" i="4"/>
  <c r="F5" i="4"/>
  <c r="G5" i="4"/>
  <c r="E6" i="4"/>
  <c r="F6" i="4"/>
  <c r="G7" i="4" l="1"/>
  <c r="F7" i="4"/>
  <c r="E7" i="4"/>
</calcChain>
</file>

<file path=xl/sharedStrings.xml><?xml version="1.0" encoding="utf-8"?>
<sst xmlns="http://schemas.openxmlformats.org/spreadsheetml/2006/main" count="125" uniqueCount="39">
  <si>
    <t>record_id</t>
  </si>
  <si>
    <t>month</t>
  </si>
  <si>
    <t>route_id</t>
  </si>
  <si>
    <t>hub</t>
  </si>
  <si>
    <t>promised_days</t>
  </si>
  <si>
    <t>actual_days</t>
  </si>
  <si>
    <t>Row Count</t>
  </si>
  <si>
    <t>Jan</t>
  </si>
  <si>
    <t>R1</t>
  </si>
  <si>
    <t>Ahmedabad</t>
  </si>
  <si>
    <t>R2</t>
  </si>
  <si>
    <t>Chennai</t>
  </si>
  <si>
    <t>R3</t>
  </si>
  <si>
    <t>Delhi</t>
  </si>
  <si>
    <t>R4</t>
  </si>
  <si>
    <t>Mumbai</t>
  </si>
  <si>
    <t>Feb</t>
  </si>
  <si>
    <t>Mar</t>
  </si>
  <si>
    <t>route_name</t>
  </si>
  <si>
    <t>service_type</t>
  </si>
  <si>
    <t>Metro Link</t>
  </si>
  <si>
    <t>Express</t>
  </si>
  <si>
    <t>City Dash</t>
  </si>
  <si>
    <t>Highway Freight</t>
  </si>
  <si>
    <t>Standard</t>
  </si>
  <si>
    <t>Rural Feeder</t>
  </si>
  <si>
    <t>delay_days</t>
  </si>
  <si>
    <t>Cleaning Check</t>
  </si>
  <si>
    <t>Before Row Count</t>
  </si>
  <si>
    <t>After Row Count</t>
  </si>
  <si>
    <t>Duplicate Removed</t>
  </si>
  <si>
    <t>Task 1 — Summary</t>
  </si>
  <si>
    <t>Hub Delay Summary</t>
  </si>
  <si>
    <t>PivotTable — Total Delay Days by Service Type &amp; Month</t>
  </si>
  <si>
    <t>Hub</t>
  </si>
  <si>
    <t>Total Delay Days</t>
  </si>
  <si>
    <t>Service Type</t>
  </si>
  <si>
    <t>Grand Total</t>
  </si>
  <si>
    <t>Service type = rows | Month = columns (Jan → Feb → Mar) | Values = Sum of delay_days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</si>
</sst>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0" fillId="3" borderId="1" xfId="0" applyFill="1" applyBorder="1"/>
    <xf numFmtId="0" fontId="1" fillId="2" borderId="2" xfId="0" applyFont="1" applyFill="1" applyBorder="1" applyAlignment="1">
      <alignment horizontal="center"/>
    </xf>
    <xf numFmtId="0" fontId="0" fillId="3" borderId="2" xfId="0" applyFill="1" applyBorder="1"/>
    <xf numFmtId="0" fontId="1" fillId="2" borderId="3" xfId="0" applyFont="1" applyFill="1" applyBorder="1" applyAlignment="1">
      <alignment horizontal="center"/>
    </xf>
    <xf numFmtId="0" fontId="0" fillId="3" borderId="0" xfId="0" applyFill="1"/>
    <xf numFmtId="0" fontId="3" fillId="3" borderId="2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Delay Days by Service Type &amp;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9444444444444445E-2"/>
          <c:y val="0.28891258384368623"/>
          <c:w val="0.93888888888888888"/>
          <c:h val="0.603688028579760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Summary!$D$5</c:f>
              <c:strCache>
                <c:ptCount val="1"/>
                <c:pt idx="0">
                  <c:v>Express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76000"/>
                    <a:shade val="51000"/>
                    <a:satMod val="130000"/>
                  </a:schemeClr>
                </a:gs>
                <a:gs pos="80000">
                  <a:schemeClr val="accent4">
                    <a:shade val="76000"/>
                    <a:shade val="93000"/>
                    <a:satMod val="130000"/>
                  </a:schemeClr>
                </a:gs>
                <a:gs pos="100000">
                  <a:schemeClr val="accent4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Summary!$E$4:$G$4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Summary!$E$5:$G$5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BB-4052-B89E-C9DEAC9B285A}"/>
            </c:ext>
          </c:extLst>
        </c:ser>
        <c:ser>
          <c:idx val="1"/>
          <c:order val="1"/>
          <c:tx>
            <c:strRef>
              <c:f>Summary!$D$6</c:f>
              <c:strCache>
                <c:ptCount val="1"/>
                <c:pt idx="0">
                  <c:v>Standard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77000"/>
                    <a:shade val="51000"/>
                    <a:satMod val="130000"/>
                  </a:schemeClr>
                </a:gs>
                <a:gs pos="80000">
                  <a:schemeClr val="accent4">
                    <a:tint val="77000"/>
                    <a:shade val="93000"/>
                    <a:satMod val="130000"/>
                  </a:schemeClr>
                </a:gs>
                <a:gs pos="100000">
                  <a:schemeClr val="accent4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Summary!$E$4:$G$4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Summary!$E$6:$G$6</c:f>
              <c:numCache>
                <c:formatCode>General</c:formatCode>
                <c:ptCount val="3"/>
                <c:pt idx="0">
                  <c:v>6</c:v>
                </c:pt>
                <c:pt idx="1">
                  <c:v>6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BB-4052-B89E-C9DEAC9B28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664713039"/>
        <c:axId val="1185763727"/>
      </c:barChart>
      <c:catAx>
        <c:axId val="166471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763727"/>
        <c:crosses val="autoZero"/>
        <c:auto val="1"/>
        <c:lblAlgn val="ctr"/>
        <c:lblOffset val="100"/>
        <c:noMultiLvlLbl val="0"/>
      </c:catAx>
      <c:valAx>
        <c:axId val="11857637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64713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237490</xdr:colOff>
      <xdr:row>9</xdr:row>
      <xdr:rowOff>181610</xdr:rowOff>
    </xdr:from>
    <xdr:to>
      <xdr:col>4</xdr:col>
      <xdr:colOff>930910</xdr:colOff>
      <xdr:row>24</xdr:row>
      <xdr:rowOff>181610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9AB5ED-C2D6-B23C-AC73-EE28AB93E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showGridLines="0" tabSelected="1" zoomScale="175" zoomScaleNormal="175" workbookViewId="0">
      <pane ySplit="1" topLeftCell="A2" activePane="bottomLeft" state="frozen"/>
      <selection pane="bottomLeft" activeCell="E6" sqref="E6"/>
    </sheetView>
  </sheetViews>
  <sheetFormatPr defaultRowHeight="14.5" x14ac:dyDescent="0.35"/>
  <cols>
    <col min="1" max="1" width="12" customWidth="1"/>
    <col min="2" max="2" width="10" customWidth="1"/>
    <col min="3" max="3" width="12" customWidth="1"/>
    <col min="4" max="4" width="14" customWidth="1"/>
    <col min="5" max="5" width="16" customWidth="1"/>
    <col min="6" max="6" width="14" customWidth="1"/>
    <col min="7" max="7" width="16" customWidth="1"/>
    <col min="8" max="8" width="25" customWidth="1"/>
  </cols>
  <sheetData>
    <row r="1" spans="1:8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H1" s="3" t="s">
        <v>6</v>
      </c>
    </row>
    <row r="2" spans="1:8" x14ac:dyDescent="0.35">
      <c r="A2" s="8">
        <v>1</v>
      </c>
      <c r="B2" s="8" t="s">
        <v>7</v>
      </c>
      <c r="C2" s="8" t="s">
        <v>8</v>
      </c>
      <c r="D2" s="8" t="s">
        <v>9</v>
      </c>
      <c r="E2" s="8">
        <v>2</v>
      </c>
      <c r="F2" s="8">
        <v>2</v>
      </c>
      <c r="H2">
        <f>COUNTA(A2:A14)</f>
        <v>13</v>
      </c>
    </row>
    <row r="3" spans="1:8" x14ac:dyDescent="0.35">
      <c r="A3" s="8">
        <v>2</v>
      </c>
      <c r="B3" s="8" t="s">
        <v>7</v>
      </c>
      <c r="C3" s="8" t="s">
        <v>10</v>
      </c>
      <c r="D3" s="8" t="s">
        <v>11</v>
      </c>
      <c r="E3" s="8">
        <v>3</v>
      </c>
      <c r="F3" s="8">
        <v>4</v>
      </c>
    </row>
    <row r="4" spans="1:8" x14ac:dyDescent="0.35">
      <c r="A4" s="8">
        <v>3</v>
      </c>
      <c r="B4" s="8" t="s">
        <v>7</v>
      </c>
      <c r="C4" s="8" t="s">
        <v>12</v>
      </c>
      <c r="D4" s="8" t="s">
        <v>13</v>
      </c>
      <c r="E4" s="8">
        <v>5</v>
      </c>
      <c r="F4" s="8">
        <v>5</v>
      </c>
    </row>
    <row r="5" spans="1:8" x14ac:dyDescent="0.35">
      <c r="A5" s="8">
        <v>4</v>
      </c>
      <c r="B5" s="8" t="s">
        <v>7</v>
      </c>
      <c r="C5" s="8" t="s">
        <v>14</v>
      </c>
      <c r="D5" s="8" t="s">
        <v>15</v>
      </c>
      <c r="E5" s="8">
        <v>4</v>
      </c>
      <c r="F5" s="8">
        <v>10</v>
      </c>
    </row>
    <row r="6" spans="1:8" x14ac:dyDescent="0.35">
      <c r="A6" s="8">
        <v>5</v>
      </c>
      <c r="B6" s="8" t="s">
        <v>16</v>
      </c>
      <c r="C6" s="8" t="s">
        <v>8</v>
      </c>
      <c r="D6" s="8" t="s">
        <v>11</v>
      </c>
      <c r="E6" s="8">
        <v>2</v>
      </c>
      <c r="F6" s="8">
        <v>5</v>
      </c>
    </row>
    <row r="7" spans="1:8" x14ac:dyDescent="0.35">
      <c r="A7" s="8">
        <v>6</v>
      </c>
      <c r="B7" s="8" t="s">
        <v>16</v>
      </c>
      <c r="C7" s="8" t="s">
        <v>10</v>
      </c>
      <c r="D7" s="8" t="s">
        <v>13</v>
      </c>
      <c r="E7" s="8">
        <v>3</v>
      </c>
      <c r="F7" s="8">
        <v>3</v>
      </c>
    </row>
    <row r="8" spans="1:8" x14ac:dyDescent="0.35">
      <c r="A8" s="8">
        <v>7</v>
      </c>
      <c r="B8" s="8" t="s">
        <v>16</v>
      </c>
      <c r="C8" s="8" t="s">
        <v>12</v>
      </c>
      <c r="D8" s="8" t="s">
        <v>15</v>
      </c>
      <c r="E8" s="8">
        <v>5</v>
      </c>
      <c r="F8" s="8">
        <v>10</v>
      </c>
    </row>
    <row r="9" spans="1:8" x14ac:dyDescent="0.35">
      <c r="A9" s="8">
        <v>8</v>
      </c>
      <c r="B9" s="8" t="s">
        <v>16</v>
      </c>
      <c r="C9" s="8" t="s">
        <v>14</v>
      </c>
      <c r="D9" s="8" t="s">
        <v>11</v>
      </c>
      <c r="E9" s="8">
        <v>6</v>
      </c>
      <c r="F9" s="8">
        <v>7</v>
      </c>
    </row>
    <row r="10" spans="1:8" x14ac:dyDescent="0.35">
      <c r="A10" s="8">
        <v>9</v>
      </c>
      <c r="B10" s="8" t="s">
        <v>17</v>
      </c>
      <c r="C10" s="8" t="s">
        <v>8</v>
      </c>
      <c r="D10" s="8" t="s">
        <v>13</v>
      </c>
      <c r="E10" s="8">
        <v>2</v>
      </c>
      <c r="F10" s="8">
        <v>8</v>
      </c>
    </row>
    <row r="11" spans="1:8" x14ac:dyDescent="0.35">
      <c r="A11" s="8">
        <v>10</v>
      </c>
      <c r="B11" s="8" t="s">
        <v>17</v>
      </c>
      <c r="C11" s="8" t="s">
        <v>10</v>
      </c>
      <c r="D11" s="8" t="s">
        <v>15</v>
      </c>
      <c r="E11" s="8">
        <v>3</v>
      </c>
      <c r="F11" s="8">
        <v>5</v>
      </c>
    </row>
    <row r="12" spans="1:8" x14ac:dyDescent="0.35">
      <c r="A12" s="8">
        <v>11</v>
      </c>
      <c r="B12" s="8" t="s">
        <v>17</v>
      </c>
      <c r="C12" s="8" t="s">
        <v>12</v>
      </c>
      <c r="D12" s="8" t="s">
        <v>11</v>
      </c>
      <c r="E12" s="8">
        <v>5</v>
      </c>
      <c r="F12" s="8">
        <v>5</v>
      </c>
    </row>
    <row r="13" spans="1:8" x14ac:dyDescent="0.35">
      <c r="A13" s="8">
        <v>12</v>
      </c>
      <c r="B13" s="8" t="s">
        <v>17</v>
      </c>
      <c r="C13" s="8" t="s">
        <v>14</v>
      </c>
      <c r="D13" s="8" t="s">
        <v>15</v>
      </c>
      <c r="E13" s="8">
        <v>6</v>
      </c>
      <c r="F13" s="8">
        <v>15</v>
      </c>
    </row>
    <row r="14" spans="1:8" x14ac:dyDescent="0.35">
      <c r="A14" s="8">
        <v>12</v>
      </c>
      <c r="B14" s="8" t="s">
        <v>17</v>
      </c>
      <c r="C14" s="8" t="s">
        <v>14</v>
      </c>
      <c r="D14" s="8" t="s">
        <v>15</v>
      </c>
      <c r="E14" s="8">
        <v>6</v>
      </c>
      <c r="F14" s="8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showGridLines="0" zoomScale="130" zoomScaleNormal="130" workbookViewId="0">
      <pane ySplit="1" topLeftCell="A2" activePane="bottomLeft" state="frozen"/>
      <selection pane="bottomLeft" activeCell="C11" sqref="C11"/>
    </sheetView>
  </sheetViews>
  <sheetFormatPr defaultRowHeight="14.5" x14ac:dyDescent="0.35"/>
  <cols>
    <col min="1" max="1" width="12" customWidth="1"/>
    <col min="2" max="2" width="22" customWidth="1"/>
    <col min="3" max="3" width="18" customWidth="1"/>
  </cols>
  <sheetData>
    <row r="1" spans="1:3" x14ac:dyDescent="0.35">
      <c r="A1" s="9" t="s">
        <v>2</v>
      </c>
      <c r="B1" s="9" t="s">
        <v>18</v>
      </c>
      <c r="C1" s="9" t="s">
        <v>19</v>
      </c>
    </row>
    <row r="2" spans="1:3" x14ac:dyDescent="0.35">
      <c r="A2" s="8" t="s">
        <v>8</v>
      </c>
      <c r="B2" s="8" t="s">
        <v>20</v>
      </c>
      <c r="C2" s="8" t="s">
        <v>21</v>
      </c>
    </row>
    <row r="3" spans="1:3" x14ac:dyDescent="0.35">
      <c r="A3" s="8" t="s">
        <v>10</v>
      </c>
      <c r="B3" s="8" t="s">
        <v>22</v>
      </c>
      <c r="C3" s="8" t="s">
        <v>21</v>
      </c>
    </row>
    <row r="4" spans="1:3" x14ac:dyDescent="0.35">
      <c r="A4" s="8" t="s">
        <v>12</v>
      </c>
      <c r="B4" s="8" t="s">
        <v>23</v>
      </c>
      <c r="C4" s="8" t="s">
        <v>24</v>
      </c>
    </row>
    <row r="5" spans="1:3" x14ac:dyDescent="0.35">
      <c r="A5" s="8" t="s">
        <v>14</v>
      </c>
      <c r="B5" s="8" t="s">
        <v>25</v>
      </c>
      <c r="C5" s="8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showGridLines="0" zoomScale="130" zoomScaleNormal="130" workbookViewId="0">
      <pane ySplit="1" topLeftCell="A2" activePane="bottomLeft" state="frozen"/>
      <selection pane="bottomLeft" activeCell="K11" sqref="K11"/>
    </sheetView>
  </sheetViews>
  <sheetFormatPr defaultRowHeight="14.5" x14ac:dyDescent="0.35"/>
  <cols>
    <col min="1" max="1" width="12" customWidth="1"/>
    <col min="2" max="2" width="10" customWidth="1"/>
    <col min="3" max="3" width="12" customWidth="1"/>
    <col min="4" max="4" width="14" customWidth="1"/>
    <col min="5" max="5" width="16" customWidth="1"/>
    <col min="6" max="6" width="14" customWidth="1"/>
    <col min="7" max="7" width="16.90625" customWidth="1"/>
    <col min="8" max="8" width="11.453125" customWidth="1"/>
    <col min="9" max="9" width="3" customWidth="1"/>
    <col min="10" max="10" width="22" customWidth="1"/>
    <col min="11" max="11" width="16" customWidth="1"/>
  </cols>
  <sheetData>
    <row r="1" spans="1:1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19</v>
      </c>
      <c r="H1" s="7" t="s">
        <v>26</v>
      </c>
      <c r="J1" s="3" t="s">
        <v>27</v>
      </c>
    </row>
    <row r="2" spans="1:11" x14ac:dyDescent="0.35">
      <c r="A2" s="8">
        <v>1</v>
      </c>
      <c r="B2" s="8" t="s">
        <v>7</v>
      </c>
      <c r="C2" s="8" t="s">
        <v>8</v>
      </c>
      <c r="D2" s="8" t="s">
        <v>9</v>
      </c>
      <c r="E2" s="8">
        <v>2</v>
      </c>
      <c r="F2" s="8">
        <v>2</v>
      </c>
      <c r="G2" s="8" t="str">
        <f>INDEX(Lookup!$C$2:$C$5,MATCH(C2,Lookup!$A$2:$A$5,0))</f>
        <v>Express</v>
      </c>
      <c r="H2" s="8">
        <f t="shared" ref="H2:H13" si="0">MAX(F2-E2,0)</f>
        <v>0</v>
      </c>
      <c r="J2" s="6" t="s">
        <v>28</v>
      </c>
      <c r="K2" s="1">
        <f>COUNTA(Raw!A2:A14)</f>
        <v>13</v>
      </c>
    </row>
    <row r="3" spans="1:11" x14ac:dyDescent="0.35">
      <c r="A3" s="8">
        <v>2</v>
      </c>
      <c r="B3" s="8" t="s">
        <v>7</v>
      </c>
      <c r="C3" s="8" t="s">
        <v>10</v>
      </c>
      <c r="D3" s="8" t="s">
        <v>11</v>
      </c>
      <c r="E3" s="8">
        <v>3</v>
      </c>
      <c r="F3" s="8">
        <v>4</v>
      </c>
      <c r="G3" s="8" t="str">
        <f>INDEX(Lookup!$C$2:$C$5,MATCH(C3,Lookup!$A$2:$A$5,0))</f>
        <v>Express</v>
      </c>
      <c r="H3" s="8">
        <f t="shared" si="0"/>
        <v>1</v>
      </c>
      <c r="J3" s="6" t="s">
        <v>29</v>
      </c>
      <c r="K3" s="1">
        <f>COUNTA(A2:A13)</f>
        <v>12</v>
      </c>
    </row>
    <row r="4" spans="1:11" x14ac:dyDescent="0.35">
      <c r="A4" s="8">
        <v>3</v>
      </c>
      <c r="B4" s="8" t="s">
        <v>7</v>
      </c>
      <c r="C4" s="8" t="s">
        <v>12</v>
      </c>
      <c r="D4" s="8" t="s">
        <v>13</v>
      </c>
      <c r="E4" s="8">
        <v>5</v>
      </c>
      <c r="F4" s="8">
        <v>5</v>
      </c>
      <c r="G4" s="8" t="str">
        <f>INDEX(Lookup!$C$2:$C$5,MATCH(C4,Lookup!$A$2:$A$5,0))</f>
        <v>Standard</v>
      </c>
      <c r="H4" s="8">
        <f t="shared" si="0"/>
        <v>0</v>
      </c>
      <c r="J4" s="6" t="s">
        <v>30</v>
      </c>
      <c r="K4" s="1">
        <f>K2-K3</f>
        <v>1</v>
      </c>
    </row>
    <row r="5" spans="1:11" x14ac:dyDescent="0.35">
      <c r="A5" s="8">
        <v>4</v>
      </c>
      <c r="B5" s="8" t="s">
        <v>7</v>
      </c>
      <c r="C5" s="8" t="s">
        <v>14</v>
      </c>
      <c r="D5" s="8" t="s">
        <v>15</v>
      </c>
      <c r="E5" s="8">
        <v>4</v>
      </c>
      <c r="F5" s="8">
        <v>10</v>
      </c>
      <c r="G5" s="8" t="str">
        <f>INDEX(Lookup!$C$2:$C$5,MATCH(C5,Lookup!$A$2:$A$5,0))</f>
        <v>Standard</v>
      </c>
      <c r="H5" s="8">
        <f t="shared" si="0"/>
        <v>6</v>
      </c>
    </row>
    <row r="6" spans="1:11" x14ac:dyDescent="0.35">
      <c r="A6" s="8">
        <v>5</v>
      </c>
      <c r="B6" s="8" t="s">
        <v>16</v>
      </c>
      <c r="C6" s="8" t="s">
        <v>8</v>
      </c>
      <c r="D6" s="8" t="s">
        <v>11</v>
      </c>
      <c r="E6" s="8">
        <v>2</v>
      </c>
      <c r="F6" s="8">
        <v>5</v>
      </c>
      <c r="G6" s="8" t="str">
        <f>INDEX(Lookup!$C$2:$C$5,MATCH(C6,Lookup!$A$2:$A$5,0))</f>
        <v>Express</v>
      </c>
      <c r="H6" s="8">
        <f t="shared" si="0"/>
        <v>3</v>
      </c>
    </row>
    <row r="7" spans="1:11" x14ac:dyDescent="0.35">
      <c r="A7" s="8">
        <v>6</v>
      </c>
      <c r="B7" s="8" t="s">
        <v>16</v>
      </c>
      <c r="C7" s="8" t="s">
        <v>10</v>
      </c>
      <c r="D7" s="8" t="s">
        <v>13</v>
      </c>
      <c r="E7" s="8">
        <v>3</v>
      </c>
      <c r="F7" s="8">
        <v>3</v>
      </c>
      <c r="G7" s="8" t="str">
        <f>INDEX(Lookup!$C$2:$C$5,MATCH(C7,Lookup!$A$2:$A$5,0))</f>
        <v>Express</v>
      </c>
      <c r="H7" s="8">
        <f t="shared" si="0"/>
        <v>0</v>
      </c>
    </row>
    <row r="8" spans="1:11" x14ac:dyDescent="0.35">
      <c r="A8" s="8">
        <v>7</v>
      </c>
      <c r="B8" s="8" t="s">
        <v>16</v>
      </c>
      <c r="C8" s="8" t="s">
        <v>12</v>
      </c>
      <c r="D8" s="8" t="s">
        <v>15</v>
      </c>
      <c r="E8" s="8">
        <v>5</v>
      </c>
      <c r="F8" s="8">
        <v>10</v>
      </c>
      <c r="G8" s="8" t="str">
        <f>INDEX(Lookup!$C$2:$C$5,MATCH(C8,Lookup!$A$2:$A$5,0))</f>
        <v>Standard</v>
      </c>
      <c r="H8" s="8">
        <f t="shared" si="0"/>
        <v>5</v>
      </c>
    </row>
    <row r="9" spans="1:11" x14ac:dyDescent="0.35">
      <c r="A9" s="8">
        <v>8</v>
      </c>
      <c r="B9" s="8" t="s">
        <v>16</v>
      </c>
      <c r="C9" s="8" t="s">
        <v>14</v>
      </c>
      <c r="D9" s="8" t="s">
        <v>11</v>
      </c>
      <c r="E9" s="8">
        <v>6</v>
      </c>
      <c r="F9" s="8">
        <v>7</v>
      </c>
      <c r="G9" s="8" t="str">
        <f>INDEX(Lookup!$C$2:$C$5,MATCH(C9,Lookup!$A$2:$A$5,0))</f>
        <v>Standard</v>
      </c>
      <c r="H9" s="8">
        <f t="shared" si="0"/>
        <v>1</v>
      </c>
    </row>
    <row r="10" spans="1:11" x14ac:dyDescent="0.35">
      <c r="A10" s="8">
        <v>9</v>
      </c>
      <c r="B10" s="8" t="s">
        <v>17</v>
      </c>
      <c r="C10" s="8" t="s">
        <v>8</v>
      </c>
      <c r="D10" s="8" t="s">
        <v>13</v>
      </c>
      <c r="E10" s="8">
        <v>2</v>
      </c>
      <c r="F10" s="8">
        <v>8</v>
      </c>
      <c r="G10" s="8" t="str">
        <f>INDEX(Lookup!$C$2:$C$5,MATCH(C10,Lookup!$A$2:$A$5,0))</f>
        <v>Express</v>
      </c>
      <c r="H10" s="8">
        <f t="shared" si="0"/>
        <v>6</v>
      </c>
    </row>
    <row r="11" spans="1:11" x14ac:dyDescent="0.35">
      <c r="A11" s="8">
        <v>10</v>
      </c>
      <c r="B11" s="8" t="s">
        <v>17</v>
      </c>
      <c r="C11" s="8" t="s">
        <v>10</v>
      </c>
      <c r="D11" s="8" t="s">
        <v>15</v>
      </c>
      <c r="E11" s="8">
        <v>3</v>
      </c>
      <c r="F11" s="8">
        <v>5</v>
      </c>
      <c r="G11" s="8" t="str">
        <f>INDEX(Lookup!$C$2:$C$5,MATCH(C11,Lookup!$A$2:$A$5,0))</f>
        <v>Express</v>
      </c>
      <c r="H11" s="8">
        <f t="shared" si="0"/>
        <v>2</v>
      </c>
    </row>
    <row r="12" spans="1:11" x14ac:dyDescent="0.35">
      <c r="A12" s="8">
        <v>11</v>
      </c>
      <c r="B12" s="8" t="s">
        <v>17</v>
      </c>
      <c r="C12" s="8" t="s">
        <v>12</v>
      </c>
      <c r="D12" s="8" t="s">
        <v>11</v>
      </c>
      <c r="E12" s="8">
        <v>5</v>
      </c>
      <c r="F12" s="8">
        <v>5</v>
      </c>
      <c r="G12" s="8" t="str">
        <f>INDEX(Lookup!$C$2:$C$5,MATCH(C12,Lookup!$A$2:$A$5,0))</f>
        <v>Standard</v>
      </c>
      <c r="H12" s="8">
        <f t="shared" si="0"/>
        <v>0</v>
      </c>
    </row>
    <row r="13" spans="1:11" x14ac:dyDescent="0.35">
      <c r="A13" s="8">
        <v>12</v>
      </c>
      <c r="B13" s="8" t="s">
        <v>17</v>
      </c>
      <c r="C13" s="8" t="s">
        <v>14</v>
      </c>
      <c r="D13" s="8" t="s">
        <v>15</v>
      </c>
      <c r="E13" s="8">
        <v>6</v>
      </c>
      <c r="F13" s="8">
        <v>15</v>
      </c>
      <c r="G13" s="8" t="str">
        <f>INDEX(Lookup!$C$2:$C$5,MATCH(C13,Lookup!$A$2:$A$5,0))</f>
        <v>Standard</v>
      </c>
      <c r="H13" s="8">
        <f t="shared" si="0"/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showGridLines="0" zoomScaleNormal="100" workbookViewId="0">
      <pane ySplit="1" topLeftCell="A2" activePane="bottomLeft" state="frozen"/>
      <selection pane="bottomLeft" activeCell="G14" sqref="G14"/>
    </sheetView>
  </sheetViews>
  <sheetFormatPr defaultRowHeight="14.5" x14ac:dyDescent="0.35"/>
  <cols>
    <col min="1" max="2" width="18" customWidth="1"/>
    <col min="3" max="3" width="3" customWidth="1"/>
    <col min="4" max="4" width="18" customWidth="1"/>
    <col min="5" max="7" width="14" customWidth="1"/>
    <col min="8" max="8" width="18" customWidth="1"/>
  </cols>
  <sheetData>
    <row r="1" spans="1:8" ht="21" x14ac:dyDescent="0.5">
      <c r="A1" s="4" t="s">
        <v>31</v>
      </c>
      <c r="B1" s="5"/>
      <c r="C1" s="5"/>
      <c r="D1" s="5"/>
      <c r="E1" s="5"/>
      <c r="F1" s="5"/>
      <c r="G1" s="5"/>
      <c r="H1" s="5"/>
    </row>
    <row r="2" spans="1:8" x14ac:dyDescent="0.35">
      <c r="A2" s="8"/>
      <c r="B2" s="8"/>
      <c r="C2" s="8"/>
      <c r="D2" s="8"/>
      <c r="E2" s="8"/>
      <c r="F2" s="8"/>
      <c r="G2" s="8"/>
    </row>
    <row r="3" spans="1:8" ht="15.5" x14ac:dyDescent="0.35">
      <c r="A3" s="11" t="s">
        <v>32</v>
      </c>
      <c r="B3" s="8"/>
      <c r="C3" s="8"/>
      <c r="D3" s="11" t="s">
        <v>33</v>
      </c>
      <c r="E3" s="8"/>
      <c r="F3" s="8"/>
      <c r="G3" s="8"/>
    </row>
    <row r="4" spans="1:8" x14ac:dyDescent="0.35">
      <c r="A4" s="7" t="s">
        <v>34</v>
      </c>
      <c r="B4" s="7" t="s">
        <v>35</v>
      </c>
      <c r="C4" s="10"/>
      <c r="D4" s="12" t="s">
        <v>36</v>
      </c>
      <c r="E4" s="12" t="s">
        <v>7</v>
      </c>
      <c r="F4" s="12" t="s">
        <v>16</v>
      </c>
      <c r="G4" s="12" t="s">
        <v>17</v>
      </c>
    </row>
    <row r="5" spans="1:8" x14ac:dyDescent="0.35">
      <c r="A5" s="8" t="s">
        <v>11</v>
      </c>
      <c r="B5" s="8">
        <f>SUMIFS(Clean!$H$2:$H$13,Clean!$D$2:$D$13,A5)</f>
        <v>5</v>
      </c>
      <c r="C5" s="10"/>
      <c r="D5" s="8" t="s">
        <v>21</v>
      </c>
      <c r="E5" s="8">
        <f>SUMIFS(Clean!$H$2:$H$13,Clean!$G$2:$G$13,$D5,Clean!$B$2:$B$13,E$4)</f>
        <v>1</v>
      </c>
      <c r="F5" s="8">
        <f>SUMIFS(Clean!$H$2:$H$13,Clean!$G$2:$G$13,$D5,Clean!$B$2:$B$13,F$4)</f>
        <v>3</v>
      </c>
      <c r="G5" s="8">
        <f>SUMIFS(Clean!$H$2:$H$13,Clean!$G$2:$G$13,$D5,Clean!$B$2:$B$13,G$4)</f>
        <v>8</v>
      </c>
    </row>
    <row r="6" spans="1:8" x14ac:dyDescent="0.35">
      <c r="A6" s="8" t="s">
        <v>13</v>
      </c>
      <c r="B6" s="8">
        <f>SUMIFS(Clean!$H$2:$H$13,Clean!$D$2:$D$13,A6)</f>
        <v>6</v>
      </c>
      <c r="C6" s="10"/>
      <c r="D6" s="8" t="s">
        <v>24</v>
      </c>
      <c r="E6" s="8">
        <f>SUMIFS(Clean!$H$2:$H$13,Clean!$G$2:$G$13,$D6,Clean!$B$2:$B$13,E$4)</f>
        <v>6</v>
      </c>
      <c r="F6" s="8">
        <f>SUMIFS(Clean!$H$2:$H$13,Clean!$G$2:$G$13,$D6,Clean!$B$2:$B$13,F$4)</f>
        <v>6</v>
      </c>
      <c r="G6" s="8">
        <f>SUMIFS(Clean!$H$2:$H$13,Clean!$G$2:$G$13,$D6,Clean!$B$2:$B$13,G$4)</f>
        <v>9</v>
      </c>
    </row>
    <row r="7" spans="1:8" x14ac:dyDescent="0.35">
      <c r="A7" s="8" t="s">
        <v>15</v>
      </c>
      <c r="B7" s="8">
        <f>SUMIFS(Clean!$H$2:$H$13,Clean!$D$2:$D$13,A7)</f>
        <v>22</v>
      </c>
      <c r="C7" s="10"/>
      <c r="D7" s="8" t="s">
        <v>37</v>
      </c>
      <c r="E7" s="8">
        <f>SUM(E5:E6)</f>
        <v>7</v>
      </c>
      <c r="F7" s="8">
        <f>SUM(F5:F6)</f>
        <v>9</v>
      </c>
      <c r="G7" s="8">
        <f>SUM(G5:G6)</f>
        <v>17</v>
      </c>
    </row>
    <row r="9" spans="1:8" x14ac:dyDescent="0.35">
      <c r="D9" s="2" t="s">
        <v>38</v>
      </c>
      <c r="E9" s="2"/>
      <c r="F9" s="2"/>
      <c r="G9" s="2"/>
      <c r="H9" s="2"/>
    </row>
  </sheetData>
  <mergeCells count="2">
    <mergeCell ref="D9:H9"/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Lookup</vt:lpstr>
      <vt:lpstr>Clean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2026-09-26T06:53:49Z</dcterms:created>
  <dcterms:modified xsi:type="dcterms:W3CDTF">2026-09-26T10:16:42Z</dcterms:modified>
</cp:coreProperties>
</file>